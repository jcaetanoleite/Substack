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o Caetano\Downloads\"/>
    </mc:Choice>
  </mc:AlternateContent>
  <bookViews>
    <workbookView xWindow="0" yWindow="0" windowWidth="19368" windowHeight="8496"/>
  </bookViews>
  <sheets>
    <sheet name="sim_cnv_obt09br184619186_204_17" sheetId="1" r:id="rId1"/>
  </sheets>
  <calcPr calcId="0"/>
</workbook>
</file>

<file path=xl/calcChain.xml><?xml version="1.0" encoding="utf-8"?>
<calcChain xmlns="http://schemas.openxmlformats.org/spreadsheetml/2006/main">
  <c r="L46" i="1" l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38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1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B17" i="1"/>
</calcChain>
</file>

<file path=xl/sharedStrings.xml><?xml version="1.0" encoding="utf-8"?>
<sst xmlns="http://schemas.openxmlformats.org/spreadsheetml/2006/main" count="88" uniqueCount="40">
  <si>
    <t xml:space="preserve"> Mortalidade - Brasil</t>
  </si>
  <si>
    <t>Óbitos p/Ocorrênc por Categoria CID-9 e Ano do Óbito</t>
  </si>
  <si>
    <t>Faixa Etária: Menor 1 ano, 1 a 4 anos, 5 a 9 anos, 10 a 14 anos</t>
  </si>
  <si>
    <t>Período:1979-1995</t>
  </si>
  <si>
    <t>Categoria CID-9</t>
  </si>
  <si>
    <t>Total</t>
  </si>
  <si>
    <t>-</t>
  </si>
  <si>
    <t>260 - Kwashiorkor</t>
  </si>
  <si>
    <t>261 - Marasmo nutricional</t>
  </si>
  <si>
    <t>262 - Out formas desnutriç prot-calóric grav</t>
  </si>
  <si>
    <t>263 - Out tipos desnutriç prot-cal e não esp</t>
  </si>
  <si>
    <t>264 - Deficiência de vitamina A</t>
  </si>
  <si>
    <t>265 - Deficiência de tiamina e niacina</t>
  </si>
  <si>
    <t>266 - Deficiência de componentes do complex B</t>
  </si>
  <si>
    <t>267 - Deficiência de ácido ascórbico</t>
  </si>
  <si>
    <t>268 - Deficiência de vitamina D</t>
  </si>
  <si>
    <t>269 - Outras deficiências nutricionais</t>
  </si>
  <si>
    <t xml:space="preserve"> Fonte: MS/SVS/CGIAE - Sistema de Informações sobre Mortalidade - SIM</t>
  </si>
  <si>
    <t>Óbitos p/Residênc por Categoria CID-10 e Ano do Óbito</t>
  </si>
  <si>
    <t>Categoria CID-10: E40   Kwashiorkor, E41   Marasmo nutricional, E42   Kwashiorkor marasmatico, E43   Desnutric proteico-calorica grave NE, E44   Desnutric proteico-calorica grau moder leve, E45   Atraso desenv dev desnutric proteico-caloric, E46   Desnutric proteico-calorica NE</t>
  </si>
  <si>
    <t>Período:1996-2024</t>
  </si>
  <si>
    <t>Categoria CID-10</t>
  </si>
  <si>
    <t>E40   Kwashiorkor</t>
  </si>
  <si>
    <t>E41   Marasmo nutricional</t>
  </si>
  <si>
    <t>E42   Kwashiorkor marasmatico</t>
  </si>
  <si>
    <t>E43   Desnutric proteico-calorica grave NE</t>
  </si>
  <si>
    <t>E44   Desnutric proteico-calorica grau moder leve</t>
  </si>
  <si>
    <t>E45   Atraso desenv dev desnutric proteico-caloric</t>
  </si>
  <si>
    <t>E46   Desnutric proteico-calorica NE</t>
  </si>
  <si>
    <t xml:space="preserve"> Fonte: MS/SVSA/CGIAE - Sistema de Informações sobre Mortalidade - SIM</t>
  </si>
  <si>
    <t xml:space="preserve"> Notas:</t>
  </si>
  <si>
    <t xml:space="preserve"> </t>
  </si>
  <si>
    <t xml:space="preserve"> Dados finais disponíveis até 2024 e atualizados em 02/12/2025.</t>
  </si>
  <si>
    <t xml:space="preserve"> Em 2011, houve uma mudança no conteúdo da Declaração de Óbito, com maior detalhamento das informações coletadas. Para este ano, foram</t>
  </si>
  <si>
    <t xml:space="preserve"> utilizados simultaneamente os dois formulários. Para mais detalhes sobre as mudanças ocorridas e os seus efeitos, veja o documento</t>
  </si>
  <si>
    <t xml:space="preserve"> "Sistema de Informações sobre Mortalidade - SIM. Consolidação da base de dados de 2011".</t>
  </si>
  <si>
    <t xml:space="preserve"> No dia 13/06/2019, os arquivos do SIM referentes ao ano de notificação 2017 foram atualizados, com alteração das causas básicas de 2 registros e exclusão de 1 registro.</t>
  </si>
  <si>
    <t xml:space="preserve"> No dia 01/04/2020, os arquivos do SIM referentes ao ano de notificação 2019 foram atualizados, com alteração das causas básicas de 4 registros e exclusão de 1 registro.</t>
  </si>
  <si>
    <t>CID 9</t>
  </si>
  <si>
    <t>CID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</si>
</sst>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Mortalidade infantil (0-14 anos) por causas relacionadas à desnutrição, </a:t>
            </a:r>
            <a:r>
              <a:rPr lang="en-US" sz="120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média diária (assumindo 360 dias no ano)</a:t>
            </a:r>
          </a:p>
        </c:rich>
      </c:tx>
      <c:layout>
        <c:manualLayout>
          <c:xMode val="edge"/>
          <c:yMode val="edge"/>
          <c:x val="2.0757348902063356E-2"/>
          <c:y val="2.08378698868402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9460174702086985E-2"/>
          <c:y val="0.13076537532961896"/>
          <c:w val="0.91108081367919769"/>
          <c:h val="0.64198926203100237"/>
        </c:manualLayout>
      </c:layout>
      <c:lineChart>
        <c:grouping val="standard"/>
        <c:varyColors val="0"/>
        <c:ser>
          <c:idx val="0"/>
          <c:order val="0"/>
          <c:tx>
            <c:strRef>
              <c:f>sim_cnv_obt09br184619186_204_17!$F$20</c:f>
              <c:strCache>
                <c:ptCount val="1"/>
                <c:pt idx="0">
                  <c:v>CID 9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sim_cnv_obt09br184619186_204_17!$E$21:$E$66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sim_cnv_obt09br184619186_204_17!$H$21:$H$66</c:f>
              <c:numCache>
                <c:formatCode>General</c:formatCode>
                <c:ptCount val="46"/>
                <c:pt idx="0">
                  <c:v>28.175000000000001</c:v>
                </c:pt>
                <c:pt idx="1">
                  <c:v>27.238888888888887</c:v>
                </c:pt>
                <c:pt idx="2">
                  <c:v>24.758333333333333</c:v>
                </c:pt>
                <c:pt idx="3">
                  <c:v>22.619444444444444</c:v>
                </c:pt>
                <c:pt idx="4">
                  <c:v>21.944444444444443</c:v>
                </c:pt>
                <c:pt idx="5">
                  <c:v>26.536111111111111</c:v>
                </c:pt>
                <c:pt idx="6">
                  <c:v>20.486111111111111</c:v>
                </c:pt>
                <c:pt idx="7">
                  <c:v>18.008333333333333</c:v>
                </c:pt>
                <c:pt idx="8">
                  <c:v>15.222222222222221</c:v>
                </c:pt>
                <c:pt idx="9">
                  <c:v>13.569444444444445</c:v>
                </c:pt>
                <c:pt idx="10">
                  <c:v>10.983333333333333</c:v>
                </c:pt>
                <c:pt idx="11">
                  <c:v>10.463888888888889</c:v>
                </c:pt>
                <c:pt idx="12">
                  <c:v>7.8805555555555555</c:v>
                </c:pt>
                <c:pt idx="13">
                  <c:v>9.0555555555555554</c:v>
                </c:pt>
                <c:pt idx="14">
                  <c:v>8.9972222222222218</c:v>
                </c:pt>
                <c:pt idx="15">
                  <c:v>8.4222222222222225</c:v>
                </c:pt>
                <c:pt idx="16">
                  <c:v>7.1388888888888893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8-436B-AF34-92305A529125}"/>
            </c:ext>
          </c:extLst>
        </c:ser>
        <c:ser>
          <c:idx val="1"/>
          <c:order val="1"/>
          <c:tx>
            <c:strRef>
              <c:f>sim_cnv_obt09br184619186_204_17!$G$20</c:f>
              <c:strCache>
                <c:ptCount val="1"/>
                <c:pt idx="0">
                  <c:v>CID 10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sim_cnv_obt09br184619186_204_17!$E$21:$E$66</c:f>
              <c:numCache>
                <c:formatCode>General</c:formatCode>
                <c:ptCount val="46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  <c:pt idx="38">
                  <c:v>2017</c:v>
                </c:pt>
                <c:pt idx="39">
                  <c:v>2018</c:v>
                </c:pt>
                <c:pt idx="40">
                  <c:v>2019</c:v>
                </c:pt>
                <c:pt idx="41">
                  <c:v>2020</c:v>
                </c:pt>
                <c:pt idx="42">
                  <c:v>2021</c:v>
                </c:pt>
                <c:pt idx="43">
                  <c:v>2022</c:v>
                </c:pt>
                <c:pt idx="44">
                  <c:v>2023</c:v>
                </c:pt>
                <c:pt idx="45">
                  <c:v>2024</c:v>
                </c:pt>
              </c:numCache>
            </c:numRef>
          </c:cat>
          <c:val>
            <c:numRef>
              <c:f>sim_cnv_obt09br184619186_204_17!$I$21:$I$66</c:f>
              <c:numCache>
                <c:formatCode>General</c:formatCode>
                <c:ptCount val="46"/>
                <c:pt idx="17">
                  <c:v>5.2833333333333332</c:v>
                </c:pt>
                <c:pt idx="18">
                  <c:v>5.6555555555555559</c:v>
                </c:pt>
                <c:pt idx="19">
                  <c:v>6.7055555555555557</c:v>
                </c:pt>
                <c:pt idx="20">
                  <c:v>5.5694444444444446</c:v>
                </c:pt>
                <c:pt idx="21">
                  <c:v>5.1916666666666664</c:v>
                </c:pt>
                <c:pt idx="22">
                  <c:v>5.052777777777778</c:v>
                </c:pt>
                <c:pt idx="23">
                  <c:v>4.3138888888888891</c:v>
                </c:pt>
                <c:pt idx="24">
                  <c:v>4.8611111111111107</c:v>
                </c:pt>
                <c:pt idx="25">
                  <c:v>3.9083333333333332</c:v>
                </c:pt>
                <c:pt idx="26">
                  <c:v>3.3305555555555557</c:v>
                </c:pt>
                <c:pt idx="27">
                  <c:v>2.35</c:v>
                </c:pt>
                <c:pt idx="28">
                  <c:v>2.1666666666666665</c:v>
                </c:pt>
                <c:pt idx="29">
                  <c:v>1.7277777777777779</c:v>
                </c:pt>
                <c:pt idx="30">
                  <c:v>1.5472222222222223</c:v>
                </c:pt>
                <c:pt idx="31">
                  <c:v>1.4027777777777777</c:v>
                </c:pt>
                <c:pt idx="32">
                  <c:v>1.2333333333333334</c:v>
                </c:pt>
                <c:pt idx="33">
                  <c:v>1.1194444444444445</c:v>
                </c:pt>
                <c:pt idx="34">
                  <c:v>1.1805555555555556</c:v>
                </c:pt>
                <c:pt idx="35">
                  <c:v>1.1000000000000001</c:v>
                </c:pt>
                <c:pt idx="36">
                  <c:v>0.93333333333333335</c:v>
                </c:pt>
                <c:pt idx="37">
                  <c:v>0.94722222222222219</c:v>
                </c:pt>
                <c:pt idx="38">
                  <c:v>0.80277777777777781</c:v>
                </c:pt>
                <c:pt idx="39">
                  <c:v>0.7416666666666667</c:v>
                </c:pt>
                <c:pt idx="40">
                  <c:v>0.7416666666666667</c:v>
                </c:pt>
                <c:pt idx="41">
                  <c:v>0.56388888888888888</c:v>
                </c:pt>
                <c:pt idx="42">
                  <c:v>0.65833333333333333</c:v>
                </c:pt>
                <c:pt idx="43">
                  <c:v>0.67777777777777781</c:v>
                </c:pt>
                <c:pt idx="44">
                  <c:v>0.71944444444444444</c:v>
                </c:pt>
                <c:pt idx="45">
                  <c:v>0.56388888888888888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8-436B-AF34-92305A529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918623"/>
        <c:axId val="1331917375"/>
      </c:lineChart>
      <c:catAx>
        <c:axId val="133191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31917375"/>
        <c:crosses val="autoZero"/>
        <c:auto val="1"/>
        <c:lblAlgn val="ctr"/>
        <c:lblOffset val="100"/>
        <c:noMultiLvlLbl val="0"/>
      </c:catAx>
      <c:valAx>
        <c:axId val="133191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3191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136724698723102"/>
          <c:y val="0.86665715854247616"/>
          <c:w val="0.21018936250912881"/>
          <c:h val="4.83908574846854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241609</xdr:colOff>
      <xdr:row>20</xdr:row>
      <xdr:rowOff>82704</xdr:rowOff>
    </xdr:from>
    <xdr:to>
      <xdr:col>22</xdr:col>
      <xdr:colOff>74341</xdr:colOff>
      <xdr:row>43</xdr:row>
      <xdr:rowOff>74341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0.37548</cdr:x>
      <cdr:y>0.12961</cdr:y>
    </cdr:from>
    <cdr:to>
      <cdr:x>0.37548</cdr:x>
      <cdr:y>0.77463</cdr:y>
    </cdr:to>
    <cdr:cxnSp macro="">
      <cdr:nvCxnSpPr>
        <cdr:cNvPr id="3" name="Conector reto 2"/>
        <cdr:cNvCxnSpPr/>
      </cdr:nvCxnSpPr>
      <cdr:spPr>
        <a:xfrm xmlns:a="http://schemas.openxmlformats.org/drawingml/2006/main" flipH="1" flipV="1">
          <a:off x="2695673" y="542529"/>
          <a:ext cx="0" cy="2700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0.53406</cdr:x>
      <cdr:y>0.12774</cdr:y>
    </cdr:from>
    <cdr:to>
      <cdr:x>0.53406</cdr:x>
      <cdr:y>0.77277</cdr:y>
    </cdr:to>
    <cdr:cxnSp macro="">
      <cdr:nvCxnSpPr>
        <cdr:cNvPr id="4" name="Conector reto 3"/>
        <cdr:cNvCxnSpPr/>
      </cdr:nvCxnSpPr>
      <cdr:spPr>
        <a:xfrm xmlns:a="http://schemas.openxmlformats.org/drawingml/2006/main" flipH="1" flipV="1">
          <a:off x="3834114" y="534713"/>
          <a:ext cx="0" cy="27000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0.46802</cdr:x>
      <cdr:y>0.94243</cdr:y>
    </cdr:from>
    <cdr:to>
      <cdr:x>0.97513</cdr:x>
      <cdr:y>1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3359980" y="3944919"/>
          <a:ext cx="3640667" cy="24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900">
              <a:latin typeface="Arial" panose="020B0604020202020204" pitchFamily="34" charset="0"/>
              <a:cs typeface="Arial" panose="020B0604020202020204" pitchFamily="34" charset="0"/>
            </a:rPr>
            <a:t>Elaborado</a:t>
          </a:r>
          <a:r>
            <a:rPr lang="pt-BR" sz="900" baseline="0">
              <a:latin typeface="Arial" panose="020B0604020202020204" pitchFamily="34" charset="0"/>
              <a:cs typeface="Arial" panose="020B0604020202020204" pitchFamily="34" charset="0"/>
            </a:rPr>
            <a:t> por João Gabriel Caetano Leite com dados do DataSUS</a:t>
          </a:r>
          <a:endParaRPr lang="pt-BR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0.38546</cdr:x>
      <cdr:y>0.24474</cdr:y>
    </cdr:from>
    <cdr:to>
      <cdr:x>0.52063</cdr:x>
      <cdr:y>0.33032</cdr:y>
    </cdr:to>
    <cdr:sp macro="" textlink="">
      <cdr:nvSpPr>
        <cdr:cNvPr id="6" name="CaixaDeTexto 5"/>
        <cdr:cNvSpPr txBox="1"/>
      </cdr:nvSpPr>
      <cdr:spPr>
        <a:xfrm xmlns:a="http://schemas.openxmlformats.org/drawingml/2006/main">
          <a:off x="2767314" y="1024476"/>
          <a:ext cx="970410" cy="3582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Governo</a:t>
          </a:r>
          <a:r>
            <a:rPr lang="pt-BR" sz="1000" baseline="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FHC</a:t>
          </a:r>
          <a:endParaRPr lang="pt-BR" sz="1000">
            <a:solidFill>
              <a:schemeClr val="tx1">
                <a:lumMod val="95000"/>
                <a:lumOff val="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66"/>
  <sheetViews>
    <sheetView tabSelected="1" zoomScale="117" zoomScaleNormal="115" workbookViewId="0">
      <selection activeCell="I44" sqref="I44"/>
    </sheetView>
  </sheetViews>
  <sheetFormatPr defaultRowHeight="14.4" x14ac:dyDescent="0.3"/>
  <cols>
    <col min="1" max="1" width="61.6640625" bestFit="1" customWidth="1"/>
  </cols>
  <sheetData>
    <row r="1" spans="1:51" x14ac:dyDescent="0.3">
      <c r="A1" t="s">
        <v>0</v>
      </c>
      <c r="U1" t="s">
        <v>0</v>
      </c>
    </row>
    <row r="2" spans="1:51" x14ac:dyDescent="0.3">
      <c r="A2" t="s">
        <v>1</v>
      </c>
      <c r="U2" t="s">
        <v>18</v>
      </c>
    </row>
    <row r="3" spans="1:51" x14ac:dyDescent="0.3">
      <c r="A3" t="s">
        <v>2</v>
      </c>
      <c r="U3" t="s">
        <v>19</v>
      </c>
    </row>
    <row r="4" spans="1:51" x14ac:dyDescent="0.3">
      <c r="A4" t="s">
        <v>3</v>
      </c>
      <c r="U4" t="s">
        <v>2</v>
      </c>
    </row>
    <row r="5" spans="1:51" x14ac:dyDescent="0.3">
      <c r="A5" t="s">
        <v>4</v>
      </c>
      <c r="B5">
        <v>1979</v>
      </c>
      <c r="C5">
        <v>1980</v>
      </c>
      <c r="D5">
        <v>1981</v>
      </c>
      <c r="E5">
        <v>1982</v>
      </c>
      <c r="F5">
        <v>1983</v>
      </c>
      <c r="G5">
        <v>1984</v>
      </c>
      <c r="H5">
        <v>1985</v>
      </c>
      <c r="I5">
        <v>1986</v>
      </c>
      <c r="J5">
        <v>1987</v>
      </c>
      <c r="K5">
        <v>1988</v>
      </c>
      <c r="L5">
        <v>1989</v>
      </c>
      <c r="M5">
        <v>1990</v>
      </c>
      <c r="N5">
        <v>1991</v>
      </c>
      <c r="O5">
        <v>1992</v>
      </c>
      <c r="P5">
        <v>1993</v>
      </c>
      <c r="Q5">
        <v>1994</v>
      </c>
      <c r="R5">
        <v>1995</v>
      </c>
      <c r="S5" t="s">
        <v>5</v>
      </c>
      <c r="U5" t="s">
        <v>20</v>
      </c>
    </row>
    <row r="6" spans="1:51" x14ac:dyDescent="0.3">
      <c r="A6" t="s">
        <v>7</v>
      </c>
      <c r="B6">
        <v>195</v>
      </c>
      <c r="C6">
        <v>210</v>
      </c>
      <c r="D6">
        <v>179</v>
      </c>
      <c r="E6">
        <v>195</v>
      </c>
      <c r="F6">
        <v>200</v>
      </c>
      <c r="G6">
        <v>299</v>
      </c>
      <c r="H6">
        <v>205</v>
      </c>
      <c r="I6">
        <v>175</v>
      </c>
      <c r="J6">
        <v>157</v>
      </c>
      <c r="K6">
        <v>106</v>
      </c>
      <c r="L6">
        <v>73</v>
      </c>
      <c r="M6">
        <v>88</v>
      </c>
      <c r="N6">
        <v>94</v>
      </c>
      <c r="O6">
        <v>109</v>
      </c>
      <c r="P6">
        <v>98</v>
      </c>
      <c r="Q6">
        <v>88</v>
      </c>
      <c r="R6">
        <v>81</v>
      </c>
      <c r="S6">
        <v>2552</v>
      </c>
      <c r="U6" t="s">
        <v>21</v>
      </c>
      <c r="V6">
        <v>1996</v>
      </c>
      <c r="W6">
        <v>1997</v>
      </c>
      <c r="X6">
        <v>1998</v>
      </c>
      <c r="Y6">
        <v>1999</v>
      </c>
      <c r="Z6">
        <v>2000</v>
      </c>
      <c r="AA6">
        <v>2001</v>
      </c>
      <c r="AB6">
        <v>2002</v>
      </c>
      <c r="AC6">
        <v>2003</v>
      </c>
      <c r="AD6">
        <v>2004</v>
      </c>
      <c r="AE6">
        <v>2005</v>
      </c>
      <c r="AF6">
        <v>2006</v>
      </c>
      <c r="AG6">
        <v>2007</v>
      </c>
      <c r="AH6">
        <v>2008</v>
      </c>
      <c r="AI6">
        <v>2009</v>
      </c>
      <c r="AJ6">
        <v>2010</v>
      </c>
      <c r="AK6">
        <v>2011</v>
      </c>
      <c r="AL6">
        <v>2012</v>
      </c>
      <c r="AM6">
        <v>2013</v>
      </c>
      <c r="AN6">
        <v>2014</v>
      </c>
      <c r="AO6">
        <v>2015</v>
      </c>
      <c r="AP6">
        <v>2016</v>
      </c>
      <c r="AQ6">
        <v>2017</v>
      </c>
      <c r="AR6">
        <v>2018</v>
      </c>
      <c r="AS6">
        <v>2019</v>
      </c>
      <c r="AT6">
        <v>2020</v>
      </c>
      <c r="AU6">
        <v>2021</v>
      </c>
      <c r="AV6">
        <v>2022</v>
      </c>
      <c r="AW6">
        <v>2023</v>
      </c>
      <c r="AX6">
        <v>2024</v>
      </c>
      <c r="AY6" t="s">
        <v>5</v>
      </c>
    </row>
    <row r="7" spans="1:51" x14ac:dyDescent="0.3">
      <c r="A7" t="s">
        <v>8</v>
      </c>
      <c r="B7">
        <v>1308</v>
      </c>
      <c r="C7">
        <v>1240</v>
      </c>
      <c r="D7">
        <v>1115</v>
      </c>
      <c r="E7">
        <v>1079</v>
      </c>
      <c r="F7">
        <v>1011</v>
      </c>
      <c r="G7">
        <v>1626</v>
      </c>
      <c r="H7">
        <v>1120</v>
      </c>
      <c r="I7">
        <v>1002</v>
      </c>
      <c r="J7">
        <v>834</v>
      </c>
      <c r="K7">
        <v>611</v>
      </c>
      <c r="L7">
        <v>462</v>
      </c>
      <c r="M7">
        <v>423</v>
      </c>
      <c r="N7">
        <v>306</v>
      </c>
      <c r="O7">
        <v>427</v>
      </c>
      <c r="P7">
        <v>422</v>
      </c>
      <c r="Q7">
        <v>393</v>
      </c>
      <c r="R7">
        <v>291</v>
      </c>
      <c r="S7">
        <v>13670</v>
      </c>
      <c r="U7" t="s">
        <v>22</v>
      </c>
      <c r="V7">
        <v>41</v>
      </c>
      <c r="W7">
        <v>41</v>
      </c>
      <c r="X7">
        <v>33</v>
      </c>
      <c r="Y7">
        <v>18</v>
      </c>
      <c r="Z7">
        <v>28</v>
      </c>
      <c r="AA7">
        <v>28</v>
      </c>
      <c r="AB7">
        <v>26</v>
      </c>
      <c r="AC7">
        <v>25</v>
      </c>
      <c r="AD7">
        <v>12</v>
      </c>
      <c r="AE7">
        <v>18</v>
      </c>
      <c r="AF7">
        <v>10</v>
      </c>
      <c r="AG7">
        <v>6</v>
      </c>
      <c r="AH7">
        <v>10</v>
      </c>
      <c r="AI7">
        <v>4</v>
      </c>
      <c r="AJ7">
        <v>9</v>
      </c>
      <c r="AK7">
        <v>9</v>
      </c>
      <c r="AL7">
        <v>11</v>
      </c>
      <c r="AM7">
        <v>6</v>
      </c>
      <c r="AN7">
        <v>6</v>
      </c>
      <c r="AO7">
        <v>6</v>
      </c>
      <c r="AP7">
        <v>7</v>
      </c>
      <c r="AQ7">
        <v>6</v>
      </c>
      <c r="AR7">
        <v>3</v>
      </c>
      <c r="AS7">
        <v>6</v>
      </c>
      <c r="AT7" t="s">
        <v>6</v>
      </c>
      <c r="AU7">
        <v>3</v>
      </c>
      <c r="AV7">
        <v>1</v>
      </c>
      <c r="AW7">
        <v>4</v>
      </c>
      <c r="AX7">
        <v>4</v>
      </c>
      <c r="AY7">
        <v>381</v>
      </c>
    </row>
    <row r="8" spans="1:51" x14ac:dyDescent="0.3">
      <c r="A8" t="s">
        <v>9</v>
      </c>
      <c r="B8">
        <v>672</v>
      </c>
      <c r="C8">
        <v>754</v>
      </c>
      <c r="D8">
        <v>808</v>
      </c>
      <c r="E8">
        <v>839</v>
      </c>
      <c r="F8">
        <v>925</v>
      </c>
      <c r="G8">
        <v>1253</v>
      </c>
      <c r="H8">
        <v>1098</v>
      </c>
      <c r="I8">
        <v>919</v>
      </c>
      <c r="J8">
        <v>889</v>
      </c>
      <c r="K8">
        <v>737</v>
      </c>
      <c r="L8">
        <v>623</v>
      </c>
      <c r="M8">
        <v>566</v>
      </c>
      <c r="N8">
        <v>484</v>
      </c>
      <c r="O8">
        <v>545</v>
      </c>
      <c r="P8">
        <v>514</v>
      </c>
      <c r="Q8">
        <v>479</v>
      </c>
      <c r="R8">
        <v>327</v>
      </c>
      <c r="S8">
        <v>12432</v>
      </c>
      <c r="U8" t="s">
        <v>23</v>
      </c>
      <c r="V8">
        <v>144</v>
      </c>
      <c r="W8">
        <v>183</v>
      </c>
      <c r="X8">
        <v>188</v>
      </c>
      <c r="Y8">
        <v>164</v>
      </c>
      <c r="Z8">
        <v>120</v>
      </c>
      <c r="AA8">
        <v>126</v>
      </c>
      <c r="AB8">
        <v>105</v>
      </c>
      <c r="AC8">
        <v>90</v>
      </c>
      <c r="AD8">
        <v>64</v>
      </c>
      <c r="AE8">
        <v>56</v>
      </c>
      <c r="AF8">
        <v>33</v>
      </c>
      <c r="AG8">
        <v>43</v>
      </c>
      <c r="AH8">
        <v>27</v>
      </c>
      <c r="AI8">
        <v>18</v>
      </c>
      <c r="AJ8">
        <v>21</v>
      </c>
      <c r="AK8">
        <v>11</v>
      </c>
      <c r="AL8">
        <v>13</v>
      </c>
      <c r="AM8">
        <v>7</v>
      </c>
      <c r="AN8">
        <v>13</v>
      </c>
      <c r="AO8">
        <v>4</v>
      </c>
      <c r="AP8">
        <v>5</v>
      </c>
      <c r="AQ8">
        <v>6</v>
      </c>
      <c r="AR8">
        <v>3</v>
      </c>
      <c r="AS8">
        <v>7</v>
      </c>
      <c r="AT8">
        <v>3</v>
      </c>
      <c r="AU8">
        <v>3</v>
      </c>
      <c r="AV8">
        <v>6</v>
      </c>
      <c r="AW8">
        <v>2</v>
      </c>
      <c r="AX8">
        <v>2</v>
      </c>
      <c r="AY8">
        <v>1467</v>
      </c>
    </row>
    <row r="9" spans="1:51" x14ac:dyDescent="0.3">
      <c r="A9" t="s">
        <v>10</v>
      </c>
      <c r="B9">
        <v>7112</v>
      </c>
      <c r="C9">
        <v>7095</v>
      </c>
      <c r="D9">
        <v>6515</v>
      </c>
      <c r="E9">
        <v>5969</v>
      </c>
      <c r="F9">
        <v>5701</v>
      </c>
      <c r="G9">
        <v>6302</v>
      </c>
      <c r="H9">
        <v>4892</v>
      </c>
      <c r="I9">
        <v>4322</v>
      </c>
      <c r="J9">
        <v>3543</v>
      </c>
      <c r="K9">
        <v>3414</v>
      </c>
      <c r="L9">
        <v>2777</v>
      </c>
      <c r="M9">
        <v>2669</v>
      </c>
      <c r="N9">
        <v>1943</v>
      </c>
      <c r="O9">
        <v>2176</v>
      </c>
      <c r="P9">
        <v>2193</v>
      </c>
      <c r="Q9">
        <v>2058</v>
      </c>
      <c r="R9">
        <v>1859</v>
      </c>
      <c r="S9">
        <v>70540</v>
      </c>
      <c r="U9" t="s">
        <v>24</v>
      </c>
      <c r="V9">
        <v>13</v>
      </c>
      <c r="W9">
        <v>12</v>
      </c>
      <c r="X9">
        <v>16</v>
      </c>
      <c r="Y9">
        <v>13</v>
      </c>
      <c r="Z9">
        <v>17</v>
      </c>
      <c r="AA9">
        <v>13</v>
      </c>
      <c r="AB9">
        <v>16</v>
      </c>
      <c r="AC9">
        <v>14</v>
      </c>
      <c r="AD9">
        <v>11</v>
      </c>
      <c r="AE9">
        <v>4</v>
      </c>
      <c r="AF9">
        <v>7</v>
      </c>
      <c r="AG9">
        <v>3</v>
      </c>
      <c r="AH9">
        <v>2</v>
      </c>
      <c r="AI9">
        <v>4</v>
      </c>
      <c r="AJ9">
        <v>2</v>
      </c>
      <c r="AK9">
        <v>3</v>
      </c>
      <c r="AL9">
        <v>4</v>
      </c>
      <c r="AM9">
        <v>1</v>
      </c>
      <c r="AN9">
        <v>5</v>
      </c>
      <c r="AO9" t="s">
        <v>6</v>
      </c>
      <c r="AP9">
        <v>3</v>
      </c>
      <c r="AQ9">
        <v>3</v>
      </c>
      <c r="AR9">
        <v>1</v>
      </c>
      <c r="AS9">
        <v>1</v>
      </c>
      <c r="AT9">
        <v>4</v>
      </c>
      <c r="AU9">
        <v>1</v>
      </c>
      <c r="AV9">
        <v>5</v>
      </c>
      <c r="AW9">
        <v>2</v>
      </c>
      <c r="AX9" t="s">
        <v>6</v>
      </c>
      <c r="AY9">
        <v>180</v>
      </c>
    </row>
    <row r="10" spans="1:51" x14ac:dyDescent="0.3">
      <c r="A10" t="s">
        <v>11</v>
      </c>
      <c r="B10">
        <v>1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>
        <v>1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>
        <v>2</v>
      </c>
      <c r="U10" t="s">
        <v>25</v>
      </c>
      <c r="V10">
        <v>401</v>
      </c>
      <c r="W10">
        <v>296</v>
      </c>
      <c r="X10">
        <v>435</v>
      </c>
      <c r="Y10">
        <v>411</v>
      </c>
      <c r="Z10">
        <v>480</v>
      </c>
      <c r="AA10">
        <v>484</v>
      </c>
      <c r="AB10">
        <v>409</v>
      </c>
      <c r="AC10">
        <v>494</v>
      </c>
      <c r="AD10">
        <v>358</v>
      </c>
      <c r="AE10">
        <v>337</v>
      </c>
      <c r="AF10">
        <v>227</v>
      </c>
      <c r="AG10">
        <v>195</v>
      </c>
      <c r="AH10">
        <v>167</v>
      </c>
      <c r="AI10">
        <v>181</v>
      </c>
      <c r="AJ10">
        <v>151</v>
      </c>
      <c r="AK10">
        <v>152</v>
      </c>
      <c r="AL10">
        <v>140</v>
      </c>
      <c r="AM10">
        <v>153</v>
      </c>
      <c r="AN10">
        <v>161</v>
      </c>
      <c r="AO10">
        <v>136</v>
      </c>
      <c r="AP10">
        <v>158</v>
      </c>
      <c r="AQ10">
        <v>126</v>
      </c>
      <c r="AR10">
        <v>127</v>
      </c>
      <c r="AS10">
        <v>126</v>
      </c>
      <c r="AT10">
        <v>84</v>
      </c>
      <c r="AU10">
        <v>131</v>
      </c>
      <c r="AV10">
        <v>114</v>
      </c>
      <c r="AW10">
        <v>150</v>
      </c>
      <c r="AX10">
        <v>120</v>
      </c>
      <c r="AY10">
        <v>6904</v>
      </c>
    </row>
    <row r="11" spans="1:51" x14ac:dyDescent="0.3">
      <c r="A11" t="s">
        <v>12</v>
      </c>
      <c r="B11">
        <v>13</v>
      </c>
      <c r="C11">
        <v>6</v>
      </c>
      <c r="D11">
        <v>2</v>
      </c>
      <c r="E11">
        <v>6</v>
      </c>
      <c r="F11">
        <v>1</v>
      </c>
      <c r="G11">
        <v>4</v>
      </c>
      <c r="H11">
        <v>2</v>
      </c>
      <c r="I11">
        <v>1</v>
      </c>
      <c r="J11">
        <v>4</v>
      </c>
      <c r="K11" t="s">
        <v>6</v>
      </c>
      <c r="L11">
        <v>2</v>
      </c>
      <c r="M11">
        <v>3</v>
      </c>
      <c r="N11">
        <v>2</v>
      </c>
      <c r="O11" t="s">
        <v>6</v>
      </c>
      <c r="P11">
        <v>1</v>
      </c>
      <c r="Q11">
        <v>3</v>
      </c>
      <c r="R11" t="s">
        <v>6</v>
      </c>
      <c r="S11">
        <v>50</v>
      </c>
      <c r="U11" t="s">
        <v>26</v>
      </c>
      <c r="V11">
        <v>14</v>
      </c>
      <c r="W11">
        <v>29</v>
      </c>
      <c r="X11">
        <v>33</v>
      </c>
      <c r="Y11">
        <v>31</v>
      </c>
      <c r="Z11">
        <v>45</v>
      </c>
      <c r="AA11">
        <v>26</v>
      </c>
      <c r="AB11">
        <v>38</v>
      </c>
      <c r="AC11">
        <v>17</v>
      </c>
      <c r="AD11">
        <v>23</v>
      </c>
      <c r="AE11">
        <v>24</v>
      </c>
      <c r="AF11">
        <v>16</v>
      </c>
      <c r="AG11">
        <v>13</v>
      </c>
      <c r="AH11">
        <v>13</v>
      </c>
      <c r="AI11">
        <v>12</v>
      </c>
      <c r="AJ11">
        <v>12</v>
      </c>
      <c r="AK11">
        <v>5</v>
      </c>
      <c r="AL11">
        <v>6</v>
      </c>
      <c r="AM11">
        <v>15</v>
      </c>
      <c r="AN11">
        <v>12</v>
      </c>
      <c r="AO11">
        <v>7</v>
      </c>
      <c r="AP11">
        <v>7</v>
      </c>
      <c r="AQ11">
        <v>10</v>
      </c>
      <c r="AR11">
        <v>14</v>
      </c>
      <c r="AS11">
        <v>17</v>
      </c>
      <c r="AT11">
        <v>19</v>
      </c>
      <c r="AU11">
        <v>17</v>
      </c>
      <c r="AV11">
        <v>14</v>
      </c>
      <c r="AW11">
        <v>13</v>
      </c>
      <c r="AX11">
        <v>9</v>
      </c>
      <c r="AY11">
        <v>511</v>
      </c>
    </row>
    <row r="12" spans="1:51" x14ac:dyDescent="0.3">
      <c r="A12" t="s">
        <v>13</v>
      </c>
      <c r="B12" t="s">
        <v>6</v>
      </c>
      <c r="C12">
        <v>2</v>
      </c>
      <c r="D12" t="s">
        <v>6</v>
      </c>
      <c r="E12">
        <v>1</v>
      </c>
      <c r="F12" t="s">
        <v>6</v>
      </c>
      <c r="G12">
        <v>1</v>
      </c>
      <c r="H12">
        <v>1</v>
      </c>
      <c r="I12" t="s">
        <v>6</v>
      </c>
      <c r="J12">
        <v>1</v>
      </c>
      <c r="K12">
        <v>2</v>
      </c>
      <c r="L12">
        <v>2</v>
      </c>
      <c r="M12" t="s">
        <v>6</v>
      </c>
      <c r="N12" t="s">
        <v>6</v>
      </c>
      <c r="O12" t="s">
        <v>6</v>
      </c>
      <c r="P12">
        <v>2</v>
      </c>
      <c r="Q12" t="s">
        <v>6</v>
      </c>
      <c r="R12" t="s">
        <v>6</v>
      </c>
      <c r="S12">
        <v>12</v>
      </c>
      <c r="U12" t="s">
        <v>27</v>
      </c>
      <c r="V12">
        <v>2</v>
      </c>
      <c r="W12" t="s">
        <v>6</v>
      </c>
      <c r="X12">
        <v>4</v>
      </c>
      <c r="Y12">
        <v>2</v>
      </c>
      <c r="Z12">
        <v>3</v>
      </c>
      <c r="AA12" t="s">
        <v>6</v>
      </c>
      <c r="AB12">
        <v>6</v>
      </c>
      <c r="AC12">
        <v>2</v>
      </c>
      <c r="AD12">
        <v>4</v>
      </c>
      <c r="AE12" t="s">
        <v>6</v>
      </c>
      <c r="AF12">
        <v>5</v>
      </c>
      <c r="AG12">
        <v>2</v>
      </c>
      <c r="AH12">
        <v>2</v>
      </c>
      <c r="AI12">
        <v>3</v>
      </c>
      <c r="AJ12">
        <v>3</v>
      </c>
      <c r="AK12" t="s">
        <v>6</v>
      </c>
      <c r="AL12">
        <v>3</v>
      </c>
      <c r="AM12">
        <v>2</v>
      </c>
      <c r="AN12">
        <v>4</v>
      </c>
      <c r="AO12">
        <v>1</v>
      </c>
      <c r="AP12">
        <v>3</v>
      </c>
      <c r="AQ12">
        <v>2</v>
      </c>
      <c r="AR12">
        <v>2</v>
      </c>
      <c r="AS12">
        <v>1</v>
      </c>
      <c r="AT12">
        <v>1</v>
      </c>
      <c r="AU12">
        <v>1</v>
      </c>
      <c r="AV12">
        <v>1</v>
      </c>
      <c r="AW12">
        <v>3</v>
      </c>
      <c r="AX12">
        <v>3</v>
      </c>
      <c r="AY12">
        <v>65</v>
      </c>
    </row>
    <row r="13" spans="1:51" x14ac:dyDescent="0.3">
      <c r="A13" t="s">
        <v>14</v>
      </c>
      <c r="B13">
        <v>5</v>
      </c>
      <c r="C13">
        <v>4</v>
      </c>
      <c r="D13">
        <v>2</v>
      </c>
      <c r="E13">
        <v>1</v>
      </c>
      <c r="F13" t="s">
        <v>6</v>
      </c>
      <c r="G13" t="s">
        <v>6</v>
      </c>
      <c r="H13" t="s">
        <v>6</v>
      </c>
      <c r="I13">
        <v>2</v>
      </c>
      <c r="J13" t="s">
        <v>6</v>
      </c>
      <c r="K13" t="s">
        <v>6</v>
      </c>
      <c r="L13" t="s">
        <v>6</v>
      </c>
      <c r="M13">
        <v>1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>
        <v>15</v>
      </c>
      <c r="U13" t="s">
        <v>28</v>
      </c>
      <c r="V13">
        <v>1287</v>
      </c>
      <c r="W13">
        <v>1475</v>
      </c>
      <c r="X13">
        <v>1705</v>
      </c>
      <c r="Y13">
        <v>1366</v>
      </c>
      <c r="Z13">
        <v>1176</v>
      </c>
      <c r="AA13">
        <v>1142</v>
      </c>
      <c r="AB13">
        <v>953</v>
      </c>
      <c r="AC13">
        <v>1108</v>
      </c>
      <c r="AD13">
        <v>935</v>
      </c>
      <c r="AE13">
        <v>760</v>
      </c>
      <c r="AF13">
        <v>548</v>
      </c>
      <c r="AG13">
        <v>518</v>
      </c>
      <c r="AH13">
        <v>401</v>
      </c>
      <c r="AI13">
        <v>335</v>
      </c>
      <c r="AJ13">
        <v>307</v>
      </c>
      <c r="AK13">
        <v>264</v>
      </c>
      <c r="AL13">
        <v>226</v>
      </c>
      <c r="AM13">
        <v>241</v>
      </c>
      <c r="AN13">
        <v>195</v>
      </c>
      <c r="AO13">
        <v>182</v>
      </c>
      <c r="AP13">
        <v>158</v>
      </c>
      <c r="AQ13">
        <v>136</v>
      </c>
      <c r="AR13">
        <v>117</v>
      </c>
      <c r="AS13">
        <v>109</v>
      </c>
      <c r="AT13">
        <v>92</v>
      </c>
      <c r="AU13">
        <v>81</v>
      </c>
      <c r="AV13">
        <v>103</v>
      </c>
      <c r="AW13">
        <v>85</v>
      </c>
      <c r="AX13">
        <v>65</v>
      </c>
      <c r="AY13">
        <v>16070</v>
      </c>
    </row>
    <row r="14" spans="1:51" x14ac:dyDescent="0.3">
      <c r="A14" t="s">
        <v>15</v>
      </c>
      <c r="B14">
        <v>23</v>
      </c>
      <c r="C14">
        <v>15</v>
      </c>
      <c r="D14">
        <v>11</v>
      </c>
      <c r="E14">
        <v>11</v>
      </c>
      <c r="F14">
        <v>14</v>
      </c>
      <c r="G14">
        <v>12</v>
      </c>
      <c r="H14">
        <v>6</v>
      </c>
      <c r="I14">
        <v>6</v>
      </c>
      <c r="J14">
        <v>10</v>
      </c>
      <c r="K14">
        <v>6</v>
      </c>
      <c r="L14">
        <v>7</v>
      </c>
      <c r="M14">
        <v>7</v>
      </c>
      <c r="N14">
        <v>4</v>
      </c>
      <c r="O14">
        <v>2</v>
      </c>
      <c r="P14">
        <v>4</v>
      </c>
      <c r="Q14">
        <v>5</v>
      </c>
      <c r="R14">
        <v>6</v>
      </c>
      <c r="S14">
        <v>149</v>
      </c>
      <c r="U14" t="s">
        <v>5</v>
      </c>
      <c r="V14">
        <v>1902</v>
      </c>
      <c r="W14">
        <v>2036</v>
      </c>
      <c r="X14">
        <v>2414</v>
      </c>
      <c r="Y14">
        <v>2005</v>
      </c>
      <c r="Z14">
        <v>1869</v>
      </c>
      <c r="AA14">
        <v>1819</v>
      </c>
      <c r="AB14">
        <v>1553</v>
      </c>
      <c r="AC14">
        <v>1750</v>
      </c>
      <c r="AD14">
        <v>1407</v>
      </c>
      <c r="AE14">
        <v>1199</v>
      </c>
      <c r="AF14">
        <v>846</v>
      </c>
      <c r="AG14">
        <v>780</v>
      </c>
      <c r="AH14">
        <v>622</v>
      </c>
      <c r="AI14">
        <v>557</v>
      </c>
      <c r="AJ14">
        <v>505</v>
      </c>
      <c r="AK14">
        <v>444</v>
      </c>
      <c r="AL14">
        <v>403</v>
      </c>
      <c r="AM14">
        <v>425</v>
      </c>
      <c r="AN14">
        <v>396</v>
      </c>
      <c r="AO14">
        <v>336</v>
      </c>
      <c r="AP14">
        <v>341</v>
      </c>
      <c r="AQ14">
        <v>289</v>
      </c>
      <c r="AR14">
        <v>267</v>
      </c>
      <c r="AS14">
        <v>267</v>
      </c>
      <c r="AT14">
        <v>203</v>
      </c>
      <c r="AU14">
        <v>237</v>
      </c>
      <c r="AV14">
        <v>244</v>
      </c>
      <c r="AW14">
        <v>259</v>
      </c>
      <c r="AX14">
        <v>203</v>
      </c>
      <c r="AY14">
        <v>25578</v>
      </c>
    </row>
    <row r="15" spans="1:51" x14ac:dyDescent="0.3">
      <c r="A15" t="s">
        <v>16</v>
      </c>
      <c r="B15">
        <v>814</v>
      </c>
      <c r="C15">
        <v>480</v>
      </c>
      <c r="D15">
        <v>281</v>
      </c>
      <c r="E15">
        <v>42</v>
      </c>
      <c r="F15">
        <v>48</v>
      </c>
      <c r="G15">
        <v>56</v>
      </c>
      <c r="H15">
        <v>51</v>
      </c>
      <c r="I15">
        <v>56</v>
      </c>
      <c r="J15">
        <v>42</v>
      </c>
      <c r="K15">
        <v>9</v>
      </c>
      <c r="L15">
        <v>7</v>
      </c>
      <c r="M15">
        <v>10</v>
      </c>
      <c r="N15">
        <v>4</v>
      </c>
      <c r="O15">
        <v>1</v>
      </c>
      <c r="P15">
        <v>5</v>
      </c>
      <c r="Q15">
        <v>6</v>
      </c>
      <c r="R15">
        <v>6</v>
      </c>
      <c r="S15">
        <v>1918</v>
      </c>
      <c r="U15" t="s">
        <v>29</v>
      </c>
    </row>
    <row r="16" spans="1:51" x14ac:dyDescent="0.3">
      <c r="A16" t="s">
        <v>17</v>
      </c>
      <c r="U16" t="s">
        <v>30</v>
      </c>
    </row>
    <row r="17" spans="2:21" x14ac:dyDescent="0.3">
      <c r="B17">
        <f>SUM(B6:B15)</f>
        <v>10143</v>
      </c>
      <c r="C17">
        <f t="shared" ref="C17:R17" si="0">SUM(C6:C15)</f>
        <v>9806</v>
      </c>
      <c r="D17">
        <f t="shared" si="0"/>
        <v>8913</v>
      </c>
      <c r="E17">
        <f t="shared" si="0"/>
        <v>8143</v>
      </c>
      <c r="F17">
        <f t="shared" si="0"/>
        <v>7900</v>
      </c>
      <c r="G17">
        <f t="shared" si="0"/>
        <v>9553</v>
      </c>
      <c r="H17">
        <f t="shared" si="0"/>
        <v>7375</v>
      </c>
      <c r="I17">
        <f t="shared" si="0"/>
        <v>6483</v>
      </c>
      <c r="J17">
        <f t="shared" si="0"/>
        <v>5480</v>
      </c>
      <c r="K17">
        <f t="shared" si="0"/>
        <v>4885</v>
      </c>
      <c r="L17">
        <f t="shared" si="0"/>
        <v>3954</v>
      </c>
      <c r="M17">
        <f t="shared" si="0"/>
        <v>3767</v>
      </c>
      <c r="N17">
        <f t="shared" si="0"/>
        <v>2837</v>
      </c>
      <c r="O17">
        <f t="shared" si="0"/>
        <v>3260</v>
      </c>
      <c r="P17">
        <f t="shared" si="0"/>
        <v>3239</v>
      </c>
      <c r="Q17">
        <f t="shared" si="0"/>
        <v>3032</v>
      </c>
      <c r="R17">
        <f t="shared" si="0"/>
        <v>2570</v>
      </c>
      <c r="U17" t="s">
        <v>31</v>
      </c>
    </row>
    <row r="18" spans="2:21" x14ac:dyDescent="0.3">
      <c r="B18">
        <v>10143</v>
      </c>
      <c r="C18">
        <v>9806</v>
      </c>
      <c r="D18">
        <v>8913</v>
      </c>
      <c r="E18">
        <v>8143</v>
      </c>
      <c r="F18">
        <v>7900</v>
      </c>
      <c r="G18">
        <v>9553</v>
      </c>
      <c r="H18">
        <v>7375</v>
      </c>
      <c r="I18">
        <v>6483</v>
      </c>
      <c r="J18">
        <v>5480</v>
      </c>
      <c r="K18">
        <v>4885</v>
      </c>
      <c r="L18">
        <v>3954</v>
      </c>
      <c r="M18">
        <v>3767</v>
      </c>
      <c r="N18">
        <v>2837</v>
      </c>
      <c r="O18">
        <v>3260</v>
      </c>
      <c r="P18">
        <v>3239</v>
      </c>
      <c r="Q18">
        <v>3032</v>
      </c>
      <c r="R18">
        <v>2570</v>
      </c>
      <c r="U18" t="s">
        <v>32</v>
      </c>
    </row>
    <row r="19" spans="2:21" x14ac:dyDescent="0.3">
      <c r="U19" t="s">
        <v>33</v>
      </c>
    </row>
    <row r="20" spans="2:21" x14ac:dyDescent="0.3">
      <c r="F20" t="s">
        <v>38</v>
      </c>
      <c r="G20" t="s">
        <v>39</v>
      </c>
      <c r="U20" t="s">
        <v>34</v>
      </c>
    </row>
    <row r="21" spans="2:21" x14ac:dyDescent="0.3">
      <c r="E21">
        <v>1979</v>
      </c>
      <c r="F21">
        <v>10143</v>
      </c>
      <c r="H21">
        <f>F21/360</f>
        <v>28.175000000000001</v>
      </c>
      <c r="U21" t="s">
        <v>35</v>
      </c>
    </row>
    <row r="22" spans="2:21" x14ac:dyDescent="0.3">
      <c r="E22">
        <v>1980</v>
      </c>
      <c r="F22">
        <v>9806</v>
      </c>
      <c r="H22">
        <f t="shared" ref="H22:H37" si="1">F22/360</f>
        <v>27.238888888888887</v>
      </c>
      <c r="U22" t="s">
        <v>36</v>
      </c>
    </row>
    <row r="23" spans="2:21" x14ac:dyDescent="0.3">
      <c r="E23">
        <v>1981</v>
      </c>
      <c r="F23">
        <v>8913</v>
      </c>
      <c r="H23">
        <f t="shared" si="1"/>
        <v>24.758333333333333</v>
      </c>
      <c r="U23" t="s">
        <v>37</v>
      </c>
    </row>
    <row r="24" spans="2:21" x14ac:dyDescent="0.3">
      <c r="E24">
        <v>1982</v>
      </c>
      <c r="F24">
        <v>8143</v>
      </c>
      <c r="H24">
        <f t="shared" si="1"/>
        <v>22.619444444444444</v>
      </c>
    </row>
    <row r="25" spans="2:21" x14ac:dyDescent="0.3">
      <c r="E25">
        <v>1983</v>
      </c>
      <c r="F25">
        <v>7900</v>
      </c>
      <c r="H25">
        <f t="shared" si="1"/>
        <v>21.944444444444443</v>
      </c>
    </row>
    <row r="26" spans="2:21" x14ac:dyDescent="0.3">
      <c r="E26">
        <v>1984</v>
      </c>
      <c r="F26">
        <v>9553</v>
      </c>
      <c r="H26">
        <f t="shared" si="1"/>
        <v>26.536111111111111</v>
      </c>
    </row>
    <row r="27" spans="2:21" x14ac:dyDescent="0.3">
      <c r="E27">
        <v>1985</v>
      </c>
      <c r="F27">
        <v>7375</v>
      </c>
      <c r="H27">
        <f t="shared" si="1"/>
        <v>20.486111111111111</v>
      </c>
    </row>
    <row r="28" spans="2:21" x14ac:dyDescent="0.3">
      <c r="E28">
        <v>1986</v>
      </c>
      <c r="F28">
        <v>6483</v>
      </c>
      <c r="H28">
        <f t="shared" si="1"/>
        <v>18.008333333333333</v>
      </c>
    </row>
    <row r="29" spans="2:21" x14ac:dyDescent="0.3">
      <c r="E29">
        <v>1987</v>
      </c>
      <c r="F29">
        <v>5480</v>
      </c>
      <c r="H29">
        <f t="shared" si="1"/>
        <v>15.222222222222221</v>
      </c>
    </row>
    <row r="30" spans="2:21" x14ac:dyDescent="0.3">
      <c r="E30">
        <v>1988</v>
      </c>
      <c r="F30">
        <v>4885</v>
      </c>
      <c r="H30">
        <f t="shared" si="1"/>
        <v>13.569444444444445</v>
      </c>
    </row>
    <row r="31" spans="2:21" x14ac:dyDescent="0.3">
      <c r="E31">
        <v>1989</v>
      </c>
      <c r="F31">
        <v>3954</v>
      </c>
      <c r="H31">
        <f t="shared" si="1"/>
        <v>10.983333333333333</v>
      </c>
    </row>
    <row r="32" spans="2:21" x14ac:dyDescent="0.3">
      <c r="E32">
        <v>1990</v>
      </c>
      <c r="F32">
        <v>3767</v>
      </c>
      <c r="H32">
        <f t="shared" si="1"/>
        <v>10.463888888888889</v>
      </c>
    </row>
    <row r="33" spans="5:12" x14ac:dyDescent="0.3">
      <c r="E33">
        <v>1991</v>
      </c>
      <c r="F33">
        <v>2837</v>
      </c>
      <c r="H33">
        <f t="shared" si="1"/>
        <v>7.8805555555555555</v>
      </c>
    </row>
    <row r="34" spans="5:12" x14ac:dyDescent="0.3">
      <c r="E34">
        <v>1992</v>
      </c>
      <c r="F34">
        <v>3260</v>
      </c>
      <c r="H34">
        <f t="shared" si="1"/>
        <v>9.0555555555555554</v>
      </c>
    </row>
    <row r="35" spans="5:12" x14ac:dyDescent="0.3">
      <c r="E35">
        <v>1993</v>
      </c>
      <c r="F35">
        <v>3239</v>
      </c>
      <c r="H35">
        <f t="shared" si="1"/>
        <v>8.9972222222222218</v>
      </c>
    </row>
    <row r="36" spans="5:12" x14ac:dyDescent="0.3">
      <c r="E36">
        <v>1994</v>
      </c>
      <c r="F36">
        <v>3032</v>
      </c>
      <c r="H36">
        <f t="shared" si="1"/>
        <v>8.4222222222222225</v>
      </c>
    </row>
    <row r="37" spans="5:12" x14ac:dyDescent="0.3">
      <c r="E37">
        <v>1995</v>
      </c>
      <c r="F37">
        <v>2570</v>
      </c>
      <c r="H37">
        <f t="shared" si="1"/>
        <v>7.1388888888888893</v>
      </c>
    </row>
    <row r="38" spans="5:12" x14ac:dyDescent="0.3">
      <c r="E38">
        <v>1996</v>
      </c>
      <c r="G38">
        <v>1902</v>
      </c>
      <c r="I38">
        <f>G38/360</f>
        <v>5.2833333333333332</v>
      </c>
    </row>
    <row r="39" spans="5:12" x14ac:dyDescent="0.3">
      <c r="E39">
        <v>1997</v>
      </c>
      <c r="G39">
        <v>2036</v>
      </c>
      <c r="I39">
        <f t="shared" ref="I39:I66" si="2">G39/360</f>
        <v>5.6555555555555559</v>
      </c>
    </row>
    <row r="40" spans="5:12" x14ac:dyDescent="0.3">
      <c r="E40">
        <v>1998</v>
      </c>
      <c r="G40">
        <v>2414</v>
      </c>
      <c r="I40">
        <f t="shared" si="2"/>
        <v>6.7055555555555557</v>
      </c>
    </row>
    <row r="41" spans="5:12" x14ac:dyDescent="0.3">
      <c r="E41">
        <v>1999</v>
      </c>
      <c r="G41">
        <v>2005</v>
      </c>
      <c r="I41">
        <f t="shared" si="2"/>
        <v>5.5694444444444446</v>
      </c>
    </row>
    <row r="42" spans="5:12" x14ac:dyDescent="0.3">
      <c r="E42">
        <v>2000</v>
      </c>
      <c r="G42">
        <v>1869</v>
      </c>
      <c r="I42">
        <f t="shared" si="2"/>
        <v>5.1916666666666664</v>
      </c>
    </row>
    <row r="43" spans="5:12" x14ac:dyDescent="0.3">
      <c r="E43">
        <v>2001</v>
      </c>
      <c r="G43">
        <v>1819</v>
      </c>
      <c r="I43">
        <f t="shared" si="2"/>
        <v>5.052777777777778</v>
      </c>
    </row>
    <row r="44" spans="5:12" x14ac:dyDescent="0.3">
      <c r="E44">
        <v>2002</v>
      </c>
      <c r="G44">
        <v>1553</v>
      </c>
      <c r="I44">
        <f t="shared" si="2"/>
        <v>4.3138888888888891</v>
      </c>
    </row>
    <row r="45" spans="5:12" x14ac:dyDescent="0.3">
      <c r="E45">
        <v>2003</v>
      </c>
      <c r="G45">
        <v>1750</v>
      </c>
      <c r="I45">
        <f t="shared" si="2"/>
        <v>4.8611111111111107</v>
      </c>
    </row>
    <row r="46" spans="5:12" x14ac:dyDescent="0.3">
      <c r="E46">
        <v>2004</v>
      </c>
      <c r="G46">
        <v>1407</v>
      </c>
      <c r="I46">
        <f t="shared" si="2"/>
        <v>3.9083333333333332</v>
      </c>
      <c r="L46">
        <f>(I44-H37)/H37</f>
        <v>-0.39571984435797664</v>
      </c>
    </row>
    <row r="47" spans="5:12" x14ac:dyDescent="0.3">
      <c r="E47">
        <v>2005</v>
      </c>
      <c r="G47">
        <v>1199</v>
      </c>
      <c r="I47">
        <f t="shared" si="2"/>
        <v>3.3305555555555557</v>
      </c>
    </row>
    <row r="48" spans="5:12" x14ac:dyDescent="0.3">
      <c r="E48">
        <v>2006</v>
      </c>
      <c r="G48">
        <v>846</v>
      </c>
      <c r="I48">
        <f t="shared" si="2"/>
        <v>2.35</v>
      </c>
    </row>
    <row r="49" spans="5:9" x14ac:dyDescent="0.3">
      <c r="E49">
        <v>2007</v>
      </c>
      <c r="G49">
        <v>780</v>
      </c>
      <c r="I49">
        <f t="shared" si="2"/>
        <v>2.1666666666666665</v>
      </c>
    </row>
    <row r="50" spans="5:9" x14ac:dyDescent="0.3">
      <c r="E50">
        <v>2008</v>
      </c>
      <c r="G50">
        <v>622</v>
      </c>
      <c r="I50">
        <f t="shared" si="2"/>
        <v>1.7277777777777779</v>
      </c>
    </row>
    <row r="51" spans="5:9" x14ac:dyDescent="0.3">
      <c r="E51">
        <v>2009</v>
      </c>
      <c r="G51">
        <v>557</v>
      </c>
      <c r="I51">
        <f t="shared" si="2"/>
        <v>1.5472222222222223</v>
      </c>
    </row>
    <row r="52" spans="5:9" x14ac:dyDescent="0.3">
      <c r="E52">
        <v>2010</v>
      </c>
      <c r="G52">
        <v>505</v>
      </c>
      <c r="I52">
        <f t="shared" si="2"/>
        <v>1.4027777777777777</v>
      </c>
    </row>
    <row r="53" spans="5:9" x14ac:dyDescent="0.3">
      <c r="E53">
        <v>2011</v>
      </c>
      <c r="G53">
        <v>444</v>
      </c>
      <c r="I53">
        <f t="shared" si="2"/>
        <v>1.2333333333333334</v>
      </c>
    </row>
    <row r="54" spans="5:9" x14ac:dyDescent="0.3">
      <c r="E54">
        <v>2012</v>
      </c>
      <c r="G54">
        <v>403</v>
      </c>
      <c r="I54">
        <f t="shared" si="2"/>
        <v>1.1194444444444445</v>
      </c>
    </row>
    <row r="55" spans="5:9" x14ac:dyDescent="0.3">
      <c r="E55">
        <v>2013</v>
      </c>
      <c r="G55">
        <v>425</v>
      </c>
      <c r="I55">
        <f t="shared" si="2"/>
        <v>1.1805555555555556</v>
      </c>
    </row>
    <row r="56" spans="5:9" x14ac:dyDescent="0.3">
      <c r="E56">
        <v>2014</v>
      </c>
      <c r="G56">
        <v>396</v>
      </c>
      <c r="I56">
        <f t="shared" si="2"/>
        <v>1.1000000000000001</v>
      </c>
    </row>
    <row r="57" spans="5:9" x14ac:dyDescent="0.3">
      <c r="E57">
        <v>2015</v>
      </c>
      <c r="G57">
        <v>336</v>
      </c>
      <c r="I57">
        <f t="shared" si="2"/>
        <v>0.93333333333333335</v>
      </c>
    </row>
    <row r="58" spans="5:9" x14ac:dyDescent="0.3">
      <c r="E58">
        <v>2016</v>
      </c>
      <c r="G58">
        <v>341</v>
      </c>
      <c r="I58">
        <f t="shared" si="2"/>
        <v>0.94722222222222219</v>
      </c>
    </row>
    <row r="59" spans="5:9" x14ac:dyDescent="0.3">
      <c r="E59">
        <v>2017</v>
      </c>
      <c r="G59">
        <v>289</v>
      </c>
      <c r="I59">
        <f t="shared" si="2"/>
        <v>0.80277777777777781</v>
      </c>
    </row>
    <row r="60" spans="5:9" x14ac:dyDescent="0.3">
      <c r="E60">
        <v>2018</v>
      </c>
      <c r="G60">
        <v>267</v>
      </c>
      <c r="I60">
        <f t="shared" si="2"/>
        <v>0.7416666666666667</v>
      </c>
    </row>
    <row r="61" spans="5:9" x14ac:dyDescent="0.3">
      <c r="E61">
        <v>2019</v>
      </c>
      <c r="G61">
        <v>267</v>
      </c>
      <c r="I61">
        <f t="shared" si="2"/>
        <v>0.7416666666666667</v>
      </c>
    </row>
    <row r="62" spans="5:9" x14ac:dyDescent="0.3">
      <c r="E62">
        <v>2020</v>
      </c>
      <c r="G62">
        <v>203</v>
      </c>
      <c r="I62">
        <f t="shared" si="2"/>
        <v>0.56388888888888888</v>
      </c>
    </row>
    <row r="63" spans="5:9" x14ac:dyDescent="0.3">
      <c r="E63">
        <v>2021</v>
      </c>
      <c r="G63">
        <v>237</v>
      </c>
      <c r="I63">
        <f t="shared" si="2"/>
        <v>0.65833333333333333</v>
      </c>
    </row>
    <row r="64" spans="5:9" x14ac:dyDescent="0.3">
      <c r="E64">
        <v>2022</v>
      </c>
      <c r="G64">
        <v>244</v>
      </c>
      <c r="I64">
        <f t="shared" si="2"/>
        <v>0.67777777777777781</v>
      </c>
    </row>
    <row r="65" spans="5:9" x14ac:dyDescent="0.3">
      <c r="E65">
        <v>2023</v>
      </c>
      <c r="G65">
        <v>259</v>
      </c>
      <c r="I65">
        <f t="shared" si="2"/>
        <v>0.71944444444444444</v>
      </c>
    </row>
    <row r="66" spans="5:9" x14ac:dyDescent="0.3">
      <c r="E66">
        <v>2024</v>
      </c>
      <c r="G66">
        <v>203</v>
      </c>
      <c r="I66">
        <f t="shared" si="2"/>
        <v>0.56388888888888888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sim_cnv_obt09br184619186_204_17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Caetano</dc:creator>
  <cp:lastModifiedBy>Joao Caetano</cp:lastModifiedBy>
  <dcterms:created xsi:type="dcterms:W3CDTF">2026-02-11T22:47:21Z</dcterms:created>
  <dcterms:modified xsi:type="dcterms:W3CDTF">2026-02-11T22:47:22Z</dcterms:modified>
</cp:coreProperties>
</file>